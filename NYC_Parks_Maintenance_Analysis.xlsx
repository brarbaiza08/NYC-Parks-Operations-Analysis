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3F81051-3699-4F09-9159-488DD731EFE7}" xr6:coauthVersionLast="47" xr6:coauthVersionMax="47" xr10:uidLastSave="{00000000-0000-0000-0000-000000000000}"/>
  <bookViews>
    <workbookView xWindow="-120" yWindow="-120" windowWidth="29040" windowHeight="15720" xr2:uid="{35B5A296-2C57-4B78-8574-906E429716BE}"/>
  </bookViews>
  <sheets>
    <sheet name="Raw Data" sheetId="1" r:id="rId1"/>
    <sheet name="Cleaned Data" sheetId="5" r:id="rId2"/>
    <sheet name="Analysis" sheetId="2" r:id="rId3"/>
    <sheet name="NYC Parks Dashboard" sheetId="8" r:id="rId4"/>
    <sheet name="Project Summary" sheetId="9" r:id="rId5"/>
  </sheets>
  <definedNames>
    <definedName name="_xlcn.WorksheetConnection_Book1ParksData" hidden="1">ParksData[]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rksData" name="ParksData" connection="WorksheetConnection_Book1!Parks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8" l="1"/>
  <c r="E15" i="8"/>
  <c r="E14" i="8"/>
  <c r="E16" i="8"/>
  <c r="E17" i="8"/>
  <c r="E13" i="8"/>
  <c r="B16" i="8"/>
  <c r="B14" i="8"/>
  <c r="B13" i="8"/>
  <c r="B15" i="8"/>
  <c r="A4" i="8"/>
  <c r="I11" i="5"/>
  <c r="I12" i="5"/>
  <c r="I10" i="5"/>
  <c r="I4" i="5"/>
  <c r="I5" i="5"/>
  <c r="I6" i="5"/>
  <c r="I7" i="5"/>
  <c r="I3" i="5"/>
  <c r="C23" i="5"/>
  <c r="B23" i="5"/>
  <c r="I13" i="5" s="1"/>
  <c r="A23" i="5"/>
  <c r="B29" i="1"/>
  <c r="B28" i="1"/>
  <c r="B27" i="1"/>
  <c r="B26" i="1"/>
  <c r="B25" i="1"/>
  <c r="B24" i="1"/>
  <c r="B21" i="1"/>
  <c r="B20" i="1"/>
  <c r="B19" i="1"/>
  <c r="B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740125-C886-4A0D-92EE-9C9C3B48CA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916F7F-7D64-494B-AF37-0FC53C9D85EE}" name="WorksheetConnection_Book1!ParksData" type="102" refreshedVersion="8" minRefreshableVersion="5">
    <extLst>
      <ext xmlns:x15="http://schemas.microsoft.com/office/spreadsheetml/2010/11/main" uri="{DE250136-89BD-433C-8126-D09CA5730AF9}">
        <x15:connection id="ParksData" autoDelete="1">
          <x15:rangePr sourceName="_xlcn.WorksheetConnection_Book1ParksData"/>
        </x15:connection>
      </ext>
    </extLst>
  </connection>
</connections>
</file>

<file path=xl/sharedStrings.xml><?xml version="1.0" encoding="utf-8"?>
<sst xmlns="http://schemas.openxmlformats.org/spreadsheetml/2006/main" count="226" uniqueCount="62">
  <si>
    <t>Request ID</t>
  </si>
  <si>
    <t>Borough</t>
  </si>
  <si>
    <t>Facility Type</t>
  </si>
  <si>
    <t>Issue Type</t>
  </si>
  <si>
    <t>Month</t>
  </si>
  <si>
    <t>Resolution Days</t>
  </si>
  <si>
    <t>Queens</t>
  </si>
  <si>
    <t>Playground</t>
  </si>
  <si>
    <t>Litter</t>
  </si>
  <si>
    <t>January</t>
  </si>
  <si>
    <t>Brooklyn</t>
  </si>
  <si>
    <t>Park</t>
  </si>
  <si>
    <t>Broken Equipment</t>
  </si>
  <si>
    <t>Bronx</t>
  </si>
  <si>
    <t>Graffiti</t>
  </si>
  <si>
    <t>February</t>
  </si>
  <si>
    <t>Recreation Center</t>
  </si>
  <si>
    <t>Plumbing</t>
  </si>
  <si>
    <t>Manhattan</t>
  </si>
  <si>
    <t>March</t>
  </si>
  <si>
    <t>April</t>
  </si>
  <si>
    <t>May</t>
  </si>
  <si>
    <t>June</t>
  </si>
  <si>
    <t>July</t>
  </si>
  <si>
    <t>August</t>
  </si>
  <si>
    <t>Quenns Requests</t>
  </si>
  <si>
    <t>Brooklyn Requests</t>
  </si>
  <si>
    <t>Bronx Requests</t>
  </si>
  <si>
    <t>Manhattan Requests</t>
  </si>
  <si>
    <t>Longest Resolution</t>
  </si>
  <si>
    <t>Average Resolution</t>
  </si>
  <si>
    <t>Row Labels</t>
  </si>
  <si>
    <t>Grand Total</t>
  </si>
  <si>
    <t>Count of Request ID</t>
  </si>
  <si>
    <r>
      <t>Insight:</t>
    </r>
    <r>
      <rPr>
        <sz val="11"/>
        <color theme="1"/>
        <rFont val="Aptos Narrow"/>
        <family val="2"/>
        <scheme val="minor"/>
      </rPr>
      <t xml:space="preserve"> Queens had the highest number of maintenance requests in the sample, with 5 requests, while the Bronx and Manhattan each had 3.</t>
    </r>
  </si>
  <si>
    <t>September</t>
  </si>
  <si>
    <t>Unknown</t>
  </si>
  <si>
    <t>Average Resolution Days</t>
  </si>
  <si>
    <t>Range (Slowest)</t>
  </si>
  <si>
    <t>Range (Fastest)</t>
  </si>
  <si>
    <t>Broken Equipment requests had the longest average resolution time at 5.33 days, while Litter requests had the shortest at 1.67 days.</t>
  </si>
  <si>
    <t>Burough</t>
  </si>
  <si>
    <r>
      <t xml:space="preserve">Requests in the dataset were resolved between </t>
    </r>
    <r>
      <rPr>
        <b/>
        <sz val="11"/>
        <color theme="1"/>
        <rFont val="Aptos Narrow"/>
        <family val="2"/>
        <scheme val="minor"/>
      </rPr>
      <t>1 and 7 days</t>
    </r>
    <r>
      <rPr>
        <sz val="11"/>
        <color theme="1"/>
        <rFont val="Aptos Narrow"/>
        <family val="2"/>
        <scheme val="minor"/>
      </rPr>
      <t xml:space="preserve">, with an average resolution time of approximately </t>
    </r>
    <r>
      <rPr>
        <b/>
        <sz val="11"/>
        <color theme="1"/>
        <rFont val="Aptos Narrow"/>
        <family val="2"/>
        <scheme val="minor"/>
      </rPr>
      <t>3.2 days</t>
    </r>
    <r>
      <rPr>
        <sz val="11"/>
        <color theme="1"/>
        <rFont val="Aptos Narrow"/>
        <family val="2"/>
        <scheme val="minor"/>
      </rPr>
      <t>.</t>
    </r>
  </si>
  <si>
    <t>Requests in the Bronx had the longest average resolution time at 4.25 days, while Brooklyn had the shortest at 2.67 days.</t>
  </si>
  <si>
    <r>
      <rPr>
        <b/>
        <sz val="11"/>
        <color theme="1"/>
        <rFont val="Aptos Narrow"/>
        <family val="2"/>
        <scheme val="minor"/>
      </rPr>
      <t>Insight:</t>
    </r>
    <r>
      <rPr>
        <sz val="11"/>
        <color theme="1"/>
        <rFont val="Aptos Narrow"/>
        <family val="2"/>
        <scheme val="minor"/>
      </rPr>
      <t xml:space="preserve"> Litter was the most frequently reported issue, with 5 requests in the sample</t>
    </r>
  </si>
  <si>
    <t>NYC Parks Maintenance Dashboard</t>
  </si>
  <si>
    <t>Total Maintenance Requests</t>
  </si>
  <si>
    <t>Most Common Issue</t>
  </si>
  <si>
    <t>Number of Requests</t>
  </si>
  <si>
    <t>Requests</t>
  </si>
  <si>
    <t>Key Findings</t>
  </si>
  <si>
    <t>Brooklyn and Queens had the highest number of maintenance requests, with 6 requests each.</t>
  </si>
  <si>
    <t>Litter was the most common maintenance issue, with 7 requests.</t>
  </si>
  <si>
    <t>The average maintenance request took 3.11 days to resolve.</t>
  </si>
  <si>
    <t>Average Resolution Time (Days)</t>
  </si>
  <si>
    <t>NYC Parks Maintenance Analysis</t>
  </si>
  <si>
    <t>Project Objective</t>
  </si>
  <si>
    <t>Analyze NYC Parks maintenance requests to identify patterns in maintenance issues, borough activity, and resolution times.</t>
  </si>
  <si>
    <t>Tools Used</t>
  </si>
  <si>
    <t>Microsoft Excel, PivotTables, PivotCharts, COUNTIF, COUNTIFS, AVERAGEIF, data cleaning, and data visualization</t>
  </si>
  <si>
    <t>Recreation Center requests had the longest average resolution time at 4.75 days.</t>
  </si>
  <si>
    <t>The overall average resolution time was 3.11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</si>
</sst>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alignment wrapText="1"/>
    </dxf>
    <dxf>
      <alignment wrapText="1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[NYC Parks Maintenance Analysis.xlsx]Analysis!PivotTable1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Maintenance Requests by Borough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</c:strCache>
            </c:strRef>
          </c:cat>
          <c:val>
            <c:numRef>
              <c:f>Analysis!$B$4:$B$8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E-4E3C-A1C0-DEF5FD58B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77775"/>
        <c:axId val="42341552"/>
      </c:barChart>
      <c:catAx>
        <c:axId val="132957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1552"/>
        <c:crosses val="autoZero"/>
        <c:auto val="1"/>
        <c:lblAlgn val="ctr"/>
        <c:lblOffset val="100"/>
        <c:noMultiLvlLbl val="0"/>
      </c:catAx>
      <c:valAx>
        <c:axId val="423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Maintenance Requests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Broken Equipment</c:v>
              </c:pt>
              <c:pt idx="1">
                <c:v>Graffiti</c:v>
              </c:pt>
              <c:pt idx="2">
                <c:v>Litter</c:v>
              </c:pt>
              <c:pt idx="3">
                <c:v>Plumbing</c:v>
              </c:pt>
            </c:strLit>
          </c:cat>
          <c:val>
            <c:numLit>
              <c:formatCode>General</c:formatCode>
              <c:ptCount val="4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86E5-4C8D-8F3C-C5A470631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994799"/>
        <c:axId val="42331952"/>
      </c:barChart>
      <c:catAx>
        <c:axId val="13429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1952"/>
        <c:crosses val="autoZero"/>
        <c:auto val="1"/>
        <c:lblAlgn val="ctr"/>
        <c:lblOffset val="100"/>
        <c:noMultiLvlLbl val="0"/>
      </c:catAx>
      <c:valAx>
        <c:axId val="423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Maintenance Requests by Borough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58705161854772E-2"/>
          <c:y val="0.17171296296296298"/>
          <c:w val="0.9156412948381452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'NYC Parks Dashboard'!$B$12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'NYC Parks Dashboard'!$A$13:$A$16</c:f>
              <c:strCache>
                <c:ptCount val="4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</c:strCache>
            </c:strRef>
          </c:cat>
          <c:val>
            <c:numRef>
              <c:f>'NYC Parks Dashboard'!$B$13:$B$16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6-41BD-B154-0C074CDA2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233359"/>
        <c:axId val="42372752"/>
      </c:barChart>
      <c:catAx>
        <c:axId val="134623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2752"/>
        <c:crosses val="autoZero"/>
        <c:auto val="1"/>
        <c:lblAlgn val="ctr"/>
        <c:lblOffset val="100"/>
        <c:noMultiLvlLbl val="0"/>
      </c:catAx>
      <c:valAx>
        <c:axId val="423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3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Maintenance Requests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'NYC Parks Dashboard'!$E$12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'NYC Parks Dashboard'!$D$13:$D$17</c:f>
              <c:strCache>
                <c:ptCount val="5"/>
                <c:pt idx="0">
                  <c:v>Broken Equipment</c:v>
                </c:pt>
                <c:pt idx="1">
                  <c:v>Graffiti</c:v>
                </c:pt>
                <c:pt idx="2">
                  <c:v>Litter</c:v>
                </c:pt>
                <c:pt idx="3">
                  <c:v>Plumbing</c:v>
                </c:pt>
                <c:pt idx="4">
                  <c:v>Unknown</c:v>
                </c:pt>
              </c:strCache>
            </c:strRef>
          </c:cat>
          <c:val>
            <c:numRef>
              <c:f>'NYC Parks Dashboard'!$E$13:$E$17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1-4E93-B45A-DADD194AB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251455"/>
        <c:axId val="42390032"/>
      </c:barChart>
      <c:catAx>
        <c:axId val="13462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0032"/>
        <c:crosses val="autoZero"/>
        <c:auto val="1"/>
        <c:lblAlgn val="ctr"/>
        <c:lblOffset val="100"/>
        <c:noMultiLvlLbl val="0"/>
      </c:catAx>
      <c:valAx>
        <c:axId val="423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5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14286</xdr:rowOff>
    </xdr:from>
    <xdr:to>
      <xdr:col>4</xdr:col>
      <xdr:colOff>609600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A031D-E021-F442-0C4A-7F9D2DF0A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609600</xdr:colOff>
      <xdr:row>8</xdr:row>
      <xdr:rowOff>9525</xdr:rowOff>
    </xdr:from>
    <xdr:to>
      <xdr:col>12</xdr:col>
      <xdr:colOff>419101</xdr:colOff>
      <xdr:row>23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D2986-FC26-4B20-9C3C-7638BED0C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0</xdr:rowOff>
    </xdr:from>
    <xdr:to>
      <xdr:col>13</xdr:col>
      <xdr:colOff>314325</xdr:colOff>
      <xdr:row>13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5B3E5-C2C8-1411-ACBF-5D567DF3D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14286</xdr:colOff>
      <xdr:row>13</xdr:row>
      <xdr:rowOff>185736</xdr:rowOff>
    </xdr:from>
    <xdr:to>
      <xdr:col>13</xdr:col>
      <xdr:colOff>361949</xdr:colOff>
      <xdr:row>29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8030B9-B079-9DD8-A082-FF27E86AA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mmy Dragon" refreshedDate="46293.774659027775" createdVersion="8" refreshedVersion="8" minRefreshableVersion="3" recordCount="15" xr:uid="{50A9A083-82C3-494A-ABDB-D1D634C494C4}">
  <cacheSource type="worksheet">
    <worksheetSource name="ParksData"/>
  </cacheSource>
  <cacheFields count="6">
    <cacheField name="Request ID" numFmtId="0">
      <sharedItems containsSemiMixedTypes="0" containsString="0" containsNumber="1" containsInteger="1" minValue="1001" maxValue="1015" count="15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</sharedItems>
    </cacheField>
    <cacheField name="Borough" numFmtId="0">
      <sharedItems count="4">
        <s v="Queens"/>
        <s v="Brooklyn"/>
        <s v="Bronx"/>
        <s v="Manhattan"/>
      </sharedItems>
    </cacheField>
    <cacheField name="Facility Type" numFmtId="0">
      <sharedItems/>
    </cacheField>
    <cacheField name="Issue Type" numFmtId="0">
      <sharedItems count="4">
        <s v="Litter"/>
        <s v="Broken Equipment"/>
        <s v="Graffiti"/>
        <s v="Plumbing"/>
      </sharedItems>
    </cacheField>
    <cacheField name="Month" numFmtId="0">
      <sharedItems/>
    </cacheField>
    <cacheField name="Resolution Days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mmy Dragon" refreshedDate="46293.789026388891" backgroundQuery="1" createdVersion="8" refreshedVersion="8" minRefreshableVersion="3" recordCount="0" supportSubquery="1" supportAdvancedDrill="1" xr:uid="{CDB46DBD-5F02-474B-A917-748BAEAE475F}">
  <cacheSource type="external" connectionId="1"/>
  <cacheFields count="2">
    <cacheField name="[ParksData].[Issue Type].[Issue Type]" caption="Issue Type" numFmtId="0" hierarchy="3" level="1">
      <sharedItems count="4">
        <s v="Broken Equipment"/>
        <s v="Graffiti"/>
        <s v="Litter"/>
        <s v="Plumbing"/>
      </sharedItems>
    </cacheField>
    <cacheField name="[Measures].[Count of Request ID]" caption="Count of Request ID" numFmtId="0" hierarchy="8" level="32767"/>
  </cacheFields>
  <cacheHierarchies count="10">
    <cacheHierarchy uniqueName="[ParksData].[Request ID]" caption="Request ID" attribute="1" defaultMemberUniqueName="[ParksData].[Request ID].[All]" allUniqueName="[ParksData].[Request ID].[All]" dimensionUniqueName="[ParksData]" displayFolder="" count="0" memberValueDatatype="20" unbalanced="0"/>
    <cacheHierarchy uniqueName="[ParksData].[Borough]" caption="Borough" attribute="1" defaultMemberUniqueName="[ParksData].[Borough].[All]" allUniqueName="[ParksData].[Borough].[All]" dimensionUniqueName="[ParksData]" displayFolder="" count="0" memberValueDatatype="130" unbalanced="0"/>
    <cacheHierarchy uniqueName="[ParksData].[Facility Type]" caption="Facility Type" attribute="1" defaultMemberUniqueName="[ParksData].[Facility Type].[All]" allUniqueName="[ParksData].[Facility Type].[All]" dimensionUniqueName="[ParksData]" displayFolder="" count="0" memberValueDatatype="130" unbalanced="0"/>
    <cacheHierarchy uniqueName="[ParksData].[Issue Type]" caption="Issue Type" attribute="1" defaultMemberUniqueName="[ParksData].[Issue Type].[All]" allUniqueName="[ParksData].[Issue Type].[All]" dimensionUniqueName="[ParksData]" displayFolder="" count="2" memberValueDatatype="130" unbalanced="0">
      <fieldsUsage count="2">
        <fieldUsage x="-1"/>
        <fieldUsage x="0"/>
      </fieldsUsage>
    </cacheHierarchy>
    <cacheHierarchy uniqueName="[ParksData].[Month]" caption="Month" attribute="1" defaultMemberUniqueName="[ParksData].[Month].[All]" allUniqueName="[ParksData].[Month].[All]" dimensionUniqueName="[ParksData]" displayFolder="" count="0" memberValueDatatype="130" unbalanced="0"/>
    <cacheHierarchy uniqueName="[ParksData].[Resolution Days]" caption="Resolution Days" attribute="1" defaultMemberUniqueName="[ParksData].[Resolution Days].[All]" allUniqueName="[ParksData].[Resolution Days].[All]" dimensionUniqueName="[ParksData]" displayFolder="" count="0" memberValueDatatype="20" unbalanced="0"/>
    <cacheHierarchy uniqueName="[Measures].[__XL_Count ParksData]" caption="__XL_Count ParksData" measure="1" displayFolder="" measureGroup="ParksData" count="0" hidden="1"/>
    <cacheHierarchy uniqueName="[Measures].[__No measures defined]" caption="__No measures defined" measure="1" displayFolder="" count="0" hidden="1"/>
    <cacheHierarchy uniqueName="[Measures].[Count of Request ID]" caption="Count of Request ID" measure="1" displayFolder="" measureGroup="Park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quest ID]" caption="Sum of Request ID" measure="1" displayFolder="" measureGroup="Park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ParksData" uniqueName="[ParksData]" caption="ParksData"/>
  </dimensions>
  <measureGroups count="1">
    <measureGroup name="ParksData" caption="Park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Playground"/>
    <x v="0"/>
    <s v="January"/>
    <n v="1"/>
  </r>
  <r>
    <x v="1"/>
    <x v="1"/>
    <s v="Park"/>
    <x v="1"/>
    <s v="January"/>
    <n v="4"/>
  </r>
  <r>
    <x v="2"/>
    <x v="2"/>
    <s v="Playground"/>
    <x v="2"/>
    <s v="February"/>
    <n v="3"/>
  </r>
  <r>
    <x v="3"/>
    <x v="0"/>
    <s v="Recreation Center"/>
    <x v="3"/>
    <s v="February"/>
    <n v="6"/>
  </r>
  <r>
    <x v="4"/>
    <x v="3"/>
    <s v="Park"/>
    <x v="0"/>
    <s v="March"/>
    <n v="1"/>
  </r>
  <r>
    <x v="5"/>
    <x v="1"/>
    <s v="Playground"/>
    <x v="2"/>
    <s v="March"/>
    <n v="2"/>
  </r>
  <r>
    <x v="6"/>
    <x v="0"/>
    <s v="Park"/>
    <x v="0"/>
    <s v="April"/>
    <n v="1"/>
  </r>
  <r>
    <x v="7"/>
    <x v="2"/>
    <s v="Recreation Center"/>
    <x v="3"/>
    <s v="April"/>
    <n v="5"/>
  </r>
  <r>
    <x v="8"/>
    <x v="3"/>
    <s v="Playground"/>
    <x v="1"/>
    <s v="May"/>
    <n v="7"/>
  </r>
  <r>
    <x v="9"/>
    <x v="0"/>
    <s v="Playground"/>
    <x v="2"/>
    <s v="May"/>
    <n v="3"/>
  </r>
  <r>
    <x v="10"/>
    <x v="1"/>
    <s v="Park"/>
    <x v="0"/>
    <s v="June"/>
    <n v="2"/>
  </r>
  <r>
    <x v="11"/>
    <x v="2"/>
    <s v="Park"/>
    <x v="1"/>
    <s v="June"/>
    <n v="5"/>
  </r>
  <r>
    <x v="12"/>
    <x v="0"/>
    <s v="Recreation Center"/>
    <x v="3"/>
    <s v="July"/>
    <n v="4"/>
  </r>
  <r>
    <x v="13"/>
    <x v="3"/>
    <s v="Park"/>
    <x v="0"/>
    <s v="July"/>
    <n v="1"/>
  </r>
  <r>
    <x v="14"/>
    <x v="1"/>
    <s v="Playground"/>
    <x v="2"/>
    <s v="Augu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32674-68FC-4A70-95FD-1BE2B4CC904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3:D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quest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arksData">
        <x15:activeTabTopLevelEntity name="[Park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20518-7E3F-4FFD-A2E8-AB8848DC22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6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quest ID" fld="0" subtotal="count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E763B-87EF-4FB1-AC04-0977F78DB108}" name="ParksData" displayName="ParksData" ref="A1:F16" totalsRowShown="0">
  <autoFilter ref="A1:F16" xr:uid="{BBEE763B-87EF-4FB1-AC04-0977F78DB108}"/>
  <tableColumns count="6">
    <tableColumn id="1" xr3:uid="{B5D8FEF2-1A26-45C8-9EEA-F378C79E2B7F}" name="Request ID"/>
    <tableColumn id="2" xr3:uid="{FC4B6BD0-83D1-4E3B-A96B-F2BF6AD702CE}" name="Borough"/>
    <tableColumn id="3" xr3:uid="{09FF48D5-DF10-425C-92FE-5217556DDF23}" name="Facility Type"/>
    <tableColumn id="4" xr3:uid="{2959CFAB-B6CB-4E58-98D5-7A9B5E26E9BB}" name="Issue Type" dataDxfId="3"/>
    <tableColumn id="5" xr3:uid="{4B4B4783-CD45-4971-BAA3-357F4033DE46}" name="Month"/>
    <tableColumn id="6" xr3:uid="{2444A497-3722-492D-B3D9-D2F31AB226B5}" name="Resolution 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CA2D17-3C8A-4C55-8AA6-C95FD33CCA65}" name="ParksData3" displayName="ParksData3" ref="A1:F20" totalsRowShown="0">
  <autoFilter ref="A1:F20" xr:uid="{BBEE763B-87EF-4FB1-AC04-0977F78DB108}"/>
  <tableColumns count="6">
    <tableColumn id="1" xr3:uid="{393D1C47-BA44-46A9-92E8-1DC886CE8E1A}" name="Request ID"/>
    <tableColumn id="2" xr3:uid="{77AF7850-0A7C-4C0A-810B-0B66BBAE9BD8}" name="Borough"/>
    <tableColumn id="3" xr3:uid="{A5F2F5DF-FB69-4BD6-A64D-303CF9607AAD}" name="Facility Type"/>
    <tableColumn id="4" xr3:uid="{D69BE3BF-1294-469D-93F7-8BF817FE4B00}" name="Issue Type" dataDxfId="2"/>
    <tableColumn id="5" xr3:uid="{30704F0D-6BD9-42BE-86DA-95325AB81B10}" name="Month"/>
    <tableColumn id="6" xr3:uid="{412A3302-4459-454A-BFAC-C2B5C3AEB262}" name="Resolution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AFCD-D2FF-4489-B84E-A3EC8ABB0B40}">
  <dimension ref="A1:F29"/>
  <sheetViews>
    <sheetView tabSelected="1" workbookViewId="0">
      <selection activeCell="C10" sqref="C10"/>
    </sheetView>
  </sheetViews>
  <sheetFormatPr defaultRowHeight="15" x14ac:dyDescent="0.25"/>
  <cols>
    <col min="1" max="1" width="19.28515625" bestFit="1" customWidth="1"/>
    <col min="2" max="2" width="10.5703125" customWidth="1"/>
    <col min="3" max="3" width="16.5703125" bestFit="1" customWidth="1"/>
    <col min="4" max="4" width="17.28515625" bestFit="1" customWidth="1"/>
    <col min="6" max="6" width="17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25">
      <c r="A3">
        <v>1002</v>
      </c>
      <c r="B3" t="s">
        <v>10</v>
      </c>
      <c r="C3" t="s">
        <v>11</v>
      </c>
      <c r="D3" t="s">
        <v>12</v>
      </c>
      <c r="E3" t="s">
        <v>9</v>
      </c>
      <c r="F3">
        <v>4</v>
      </c>
    </row>
    <row r="4" spans="1:6" x14ac:dyDescent="0.25">
      <c r="A4">
        <v>1003</v>
      </c>
      <c r="B4" t="s">
        <v>13</v>
      </c>
      <c r="C4" t="s">
        <v>7</v>
      </c>
      <c r="D4" t="s">
        <v>14</v>
      </c>
      <c r="E4" t="s">
        <v>15</v>
      </c>
      <c r="F4">
        <v>3</v>
      </c>
    </row>
    <row r="5" spans="1:6" x14ac:dyDescent="0.25">
      <c r="A5">
        <v>1004</v>
      </c>
      <c r="B5" t="s">
        <v>6</v>
      </c>
      <c r="C5" t="s">
        <v>16</v>
      </c>
      <c r="D5" t="s">
        <v>17</v>
      </c>
      <c r="E5" t="s">
        <v>15</v>
      </c>
      <c r="F5">
        <v>6</v>
      </c>
    </row>
    <row r="6" spans="1:6" x14ac:dyDescent="0.25">
      <c r="A6">
        <v>1005</v>
      </c>
      <c r="B6" t="s">
        <v>18</v>
      </c>
      <c r="C6" t="s">
        <v>11</v>
      </c>
      <c r="D6" t="s">
        <v>8</v>
      </c>
      <c r="E6" t="s">
        <v>19</v>
      </c>
      <c r="F6">
        <v>1</v>
      </c>
    </row>
    <row r="7" spans="1:6" x14ac:dyDescent="0.25">
      <c r="A7">
        <v>1006</v>
      </c>
      <c r="B7" t="s">
        <v>10</v>
      </c>
      <c r="C7" t="s">
        <v>7</v>
      </c>
      <c r="D7" t="s">
        <v>14</v>
      </c>
      <c r="E7" t="s">
        <v>19</v>
      </c>
      <c r="F7">
        <v>2</v>
      </c>
    </row>
    <row r="8" spans="1:6" x14ac:dyDescent="0.25">
      <c r="A8">
        <v>1007</v>
      </c>
      <c r="B8" t="s">
        <v>6</v>
      </c>
      <c r="C8" t="s">
        <v>11</v>
      </c>
      <c r="D8" t="s">
        <v>8</v>
      </c>
      <c r="E8" t="s">
        <v>20</v>
      </c>
      <c r="F8">
        <v>1</v>
      </c>
    </row>
    <row r="9" spans="1:6" x14ac:dyDescent="0.25">
      <c r="A9">
        <v>1008</v>
      </c>
      <c r="B9" t="s">
        <v>13</v>
      </c>
      <c r="C9" t="s">
        <v>16</v>
      </c>
      <c r="D9" t="s">
        <v>17</v>
      </c>
      <c r="E9" t="s">
        <v>20</v>
      </c>
      <c r="F9">
        <v>5</v>
      </c>
    </row>
    <row r="10" spans="1:6" x14ac:dyDescent="0.25">
      <c r="A10">
        <v>1009</v>
      </c>
      <c r="B10" t="s">
        <v>18</v>
      </c>
      <c r="C10" t="s">
        <v>7</v>
      </c>
      <c r="D10" t="s">
        <v>12</v>
      </c>
      <c r="E10" t="s">
        <v>21</v>
      </c>
      <c r="F10">
        <v>7</v>
      </c>
    </row>
    <row r="11" spans="1:6" x14ac:dyDescent="0.25">
      <c r="A11">
        <v>1010</v>
      </c>
      <c r="B11" t="s">
        <v>6</v>
      </c>
      <c r="C11" t="s">
        <v>7</v>
      </c>
      <c r="D11" t="s">
        <v>14</v>
      </c>
      <c r="E11" t="s">
        <v>21</v>
      </c>
      <c r="F11">
        <v>3</v>
      </c>
    </row>
    <row r="12" spans="1:6" x14ac:dyDescent="0.25">
      <c r="A12">
        <v>1011</v>
      </c>
      <c r="B12" t="s">
        <v>10</v>
      </c>
      <c r="C12" t="s">
        <v>11</v>
      </c>
      <c r="D12" t="s">
        <v>8</v>
      </c>
      <c r="E12" t="s">
        <v>22</v>
      </c>
      <c r="F12">
        <v>2</v>
      </c>
    </row>
    <row r="13" spans="1:6" x14ac:dyDescent="0.25">
      <c r="A13">
        <v>1012</v>
      </c>
      <c r="B13" t="s">
        <v>13</v>
      </c>
      <c r="C13" t="s">
        <v>11</v>
      </c>
      <c r="D13" t="s">
        <v>12</v>
      </c>
      <c r="E13" t="s">
        <v>22</v>
      </c>
      <c r="F13">
        <v>5</v>
      </c>
    </row>
    <row r="14" spans="1:6" x14ac:dyDescent="0.25">
      <c r="A14">
        <v>1013</v>
      </c>
      <c r="B14" t="s">
        <v>6</v>
      </c>
      <c r="C14" t="s">
        <v>16</v>
      </c>
      <c r="D14" t="s">
        <v>17</v>
      </c>
      <c r="E14" t="s">
        <v>23</v>
      </c>
      <c r="F14">
        <v>4</v>
      </c>
    </row>
    <row r="15" spans="1:6" x14ac:dyDescent="0.25">
      <c r="A15">
        <v>1014</v>
      </c>
      <c r="B15" t="s">
        <v>18</v>
      </c>
      <c r="C15" t="s">
        <v>11</v>
      </c>
      <c r="D15" t="s">
        <v>8</v>
      </c>
      <c r="E15" t="s">
        <v>23</v>
      </c>
      <c r="F15">
        <v>1</v>
      </c>
    </row>
    <row r="16" spans="1:6" x14ac:dyDescent="0.25">
      <c r="A16">
        <v>1015</v>
      </c>
      <c r="B16" t="s">
        <v>10</v>
      </c>
      <c r="C16" t="s">
        <v>7</v>
      </c>
      <c r="D16" t="s">
        <v>14</v>
      </c>
      <c r="E16" t="s">
        <v>24</v>
      </c>
      <c r="F16">
        <v>3</v>
      </c>
    </row>
    <row r="18" spans="1:2" x14ac:dyDescent="0.25">
      <c r="A18" t="s">
        <v>25</v>
      </c>
      <c r="B18">
        <f>COUNTIF(B2:B16, "Queens")</f>
        <v>5</v>
      </c>
    </row>
    <row r="19" spans="1:2" x14ac:dyDescent="0.25">
      <c r="A19" t="s">
        <v>26</v>
      </c>
      <c r="B19">
        <f>COUNTIF(B2:B16, "Brooklyn")</f>
        <v>4</v>
      </c>
    </row>
    <row r="20" spans="1:2" x14ac:dyDescent="0.25">
      <c r="A20" t="s">
        <v>27</v>
      </c>
      <c r="B20">
        <f>COUNTIF(B2:B16, "Bronx")</f>
        <v>3</v>
      </c>
    </row>
    <row r="21" spans="1:2" x14ac:dyDescent="0.25">
      <c r="A21" t="s">
        <v>28</v>
      </c>
      <c r="B21">
        <f>COUNTIF(B2:B16, "Manhattan")</f>
        <v>3</v>
      </c>
    </row>
    <row r="24" spans="1:2" x14ac:dyDescent="0.25">
      <c r="A24" t="s">
        <v>29</v>
      </c>
      <c r="B24">
        <f>MAX(F2:F16)</f>
        <v>7</v>
      </c>
    </row>
    <row r="25" spans="1:2" x14ac:dyDescent="0.25">
      <c r="A25" t="s">
        <v>30</v>
      </c>
      <c r="B25">
        <f>AVERAGE(F2:F16)</f>
        <v>3.2</v>
      </c>
    </row>
    <row r="26" spans="1:2" x14ac:dyDescent="0.25">
      <c r="A26" t="s">
        <v>8</v>
      </c>
      <c r="B26">
        <f>COUNTIF(D2:D16, "Litter")</f>
        <v>5</v>
      </c>
    </row>
    <row r="27" spans="1:2" x14ac:dyDescent="0.25">
      <c r="A27" t="s">
        <v>14</v>
      </c>
      <c r="B27">
        <f>COUNTIF(D2:D16, "Graffiti")</f>
        <v>4</v>
      </c>
    </row>
    <row r="28" spans="1:2" x14ac:dyDescent="0.25">
      <c r="A28" t="s">
        <v>17</v>
      </c>
      <c r="B28">
        <f>COUNTIF(D2:D16, "Plumbing")</f>
        <v>3</v>
      </c>
    </row>
    <row r="29" spans="1:2" x14ac:dyDescent="0.25">
      <c r="A29" t="s">
        <v>12</v>
      </c>
      <c r="B29">
        <f>COUNTIF(D2:D16, "Broken Equipment")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01A4-5A83-475F-B2B5-A0C441C55800}">
  <dimension ref="A1:I24"/>
  <sheetViews>
    <sheetView workbookViewId="0">
      <selection activeCell="H17" sqref="H17"/>
    </sheetView>
  </sheetViews>
  <sheetFormatPr defaultRowHeight="15" x14ac:dyDescent="0.25"/>
  <cols>
    <col min="1" max="1" width="23.7109375" bestFit="1" customWidth="1"/>
    <col min="2" max="2" width="15.7109375" bestFit="1" customWidth="1"/>
    <col min="3" max="3" width="16.5703125" bestFit="1" customWidth="1"/>
    <col min="4" max="4" width="17.28515625" bestFit="1" customWidth="1"/>
    <col min="5" max="5" width="10.28515625" bestFit="1" customWidth="1"/>
    <col min="6" max="7" width="17.85546875" customWidth="1"/>
    <col min="8" max="9" width="22.85546875" bestFit="1" customWidth="1"/>
    <col min="10" max="10" width="15.140625" bestFit="1" customWidth="1"/>
    <col min="11" max="11" width="10.5703125" bestFit="1" customWidth="1"/>
    <col min="12" max="12" width="22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1001</v>
      </c>
      <c r="B2" t="s">
        <v>6</v>
      </c>
      <c r="C2" t="s">
        <v>7</v>
      </c>
      <c r="D2" t="s">
        <v>8</v>
      </c>
      <c r="E2" t="s">
        <v>9</v>
      </c>
      <c r="F2">
        <v>1</v>
      </c>
      <c r="H2" s="4" t="s">
        <v>3</v>
      </c>
      <c r="I2" s="4" t="s">
        <v>37</v>
      </c>
    </row>
    <row r="3" spans="1:9" x14ac:dyDescent="0.25">
      <c r="A3">
        <v>1002</v>
      </c>
      <c r="B3" t="s">
        <v>10</v>
      </c>
      <c r="C3" t="s">
        <v>11</v>
      </c>
      <c r="D3" t="s">
        <v>12</v>
      </c>
      <c r="E3" t="s">
        <v>9</v>
      </c>
      <c r="F3">
        <v>4</v>
      </c>
      <c r="H3" t="s">
        <v>12</v>
      </c>
      <c r="I3" s="7">
        <f>AVERAGEIF(D2:D20,H3,F2:F20)</f>
        <v>5.333333333333333</v>
      </c>
    </row>
    <row r="4" spans="1:9" x14ac:dyDescent="0.25">
      <c r="A4">
        <v>1003</v>
      </c>
      <c r="B4" t="s">
        <v>13</v>
      </c>
      <c r="C4" t="s">
        <v>7</v>
      </c>
      <c r="D4" t="s">
        <v>14</v>
      </c>
      <c r="E4" t="s">
        <v>15</v>
      </c>
      <c r="F4">
        <v>3</v>
      </c>
      <c r="H4" t="s">
        <v>14</v>
      </c>
      <c r="I4" s="7">
        <f t="shared" ref="I4:I7" si="0">AVERAGEIF(D3:D21,H4,F3:F21)</f>
        <v>2.6</v>
      </c>
    </row>
    <row r="5" spans="1:9" x14ac:dyDescent="0.25">
      <c r="A5">
        <v>1004</v>
      </c>
      <c r="B5" t="s">
        <v>6</v>
      </c>
      <c r="C5" t="s">
        <v>16</v>
      </c>
      <c r="D5" t="s">
        <v>17</v>
      </c>
      <c r="E5" t="s">
        <v>15</v>
      </c>
      <c r="F5">
        <v>6</v>
      </c>
      <c r="H5" t="s">
        <v>8</v>
      </c>
      <c r="I5" s="7">
        <f t="shared" si="0"/>
        <v>1.6666666666666667</v>
      </c>
    </row>
    <row r="6" spans="1:9" x14ac:dyDescent="0.25">
      <c r="A6">
        <v>1005</v>
      </c>
      <c r="B6" t="s">
        <v>18</v>
      </c>
      <c r="C6" t="s">
        <v>11</v>
      </c>
      <c r="D6" t="s">
        <v>8</v>
      </c>
      <c r="E6" t="s">
        <v>19</v>
      </c>
      <c r="F6">
        <v>1</v>
      </c>
      <c r="H6" t="s">
        <v>17</v>
      </c>
      <c r="I6" s="7">
        <f t="shared" si="0"/>
        <v>5</v>
      </c>
    </row>
    <row r="7" spans="1:9" x14ac:dyDescent="0.25">
      <c r="A7">
        <v>1006</v>
      </c>
      <c r="B7" t="s">
        <v>10</v>
      </c>
      <c r="C7" t="s">
        <v>7</v>
      </c>
      <c r="D7" t="s">
        <v>14</v>
      </c>
      <c r="E7" t="s">
        <v>19</v>
      </c>
      <c r="F7">
        <v>2</v>
      </c>
      <c r="H7" t="s">
        <v>36</v>
      </c>
      <c r="I7" s="7">
        <f t="shared" si="0"/>
        <v>4</v>
      </c>
    </row>
    <row r="8" spans="1:9" x14ac:dyDescent="0.25">
      <c r="A8">
        <v>1007</v>
      </c>
      <c r="B8" t="s">
        <v>6</v>
      </c>
      <c r="C8" t="s">
        <v>11</v>
      </c>
      <c r="D8" t="s">
        <v>8</v>
      </c>
      <c r="E8" t="s">
        <v>20</v>
      </c>
      <c r="F8">
        <v>1</v>
      </c>
      <c r="H8" s="4" t="s">
        <v>40</v>
      </c>
    </row>
    <row r="9" spans="1:9" x14ac:dyDescent="0.25">
      <c r="A9">
        <v>1008</v>
      </c>
      <c r="B9" t="s">
        <v>13</v>
      </c>
      <c r="C9" t="s">
        <v>16</v>
      </c>
      <c r="D9" t="s">
        <v>17</v>
      </c>
      <c r="E9" t="s">
        <v>20</v>
      </c>
      <c r="F9">
        <v>5</v>
      </c>
      <c r="H9" s="4" t="s">
        <v>41</v>
      </c>
      <c r="I9" s="4" t="s">
        <v>37</v>
      </c>
    </row>
    <row r="10" spans="1:9" x14ac:dyDescent="0.25">
      <c r="A10">
        <v>1009</v>
      </c>
      <c r="B10" t="s">
        <v>18</v>
      </c>
      <c r="C10" t="s">
        <v>7</v>
      </c>
      <c r="D10" t="s">
        <v>12</v>
      </c>
      <c r="E10" t="s">
        <v>21</v>
      </c>
      <c r="F10">
        <v>7</v>
      </c>
      <c r="H10" t="s">
        <v>13</v>
      </c>
      <c r="I10" s="7">
        <f>AVERAGEIF(B2:B20,H10,F2:F20)</f>
        <v>4.25</v>
      </c>
    </row>
    <row r="11" spans="1:9" x14ac:dyDescent="0.25">
      <c r="A11">
        <v>1010</v>
      </c>
      <c r="B11" t="s">
        <v>6</v>
      </c>
      <c r="C11" t="s">
        <v>7</v>
      </c>
      <c r="D11" t="s">
        <v>14</v>
      </c>
      <c r="E11" t="s">
        <v>21</v>
      </c>
      <c r="F11">
        <v>3</v>
      </c>
      <c r="H11" t="s">
        <v>10</v>
      </c>
      <c r="I11" s="7">
        <f t="shared" ref="I11:I13" si="1">AVERAGEIF(B3:B21,H11,F3:F21)</f>
        <v>2.6666666666666665</v>
      </c>
    </row>
    <row r="12" spans="1:9" x14ac:dyDescent="0.25">
      <c r="A12">
        <v>1011</v>
      </c>
      <c r="B12" t="s">
        <v>10</v>
      </c>
      <c r="C12" t="s">
        <v>11</v>
      </c>
      <c r="D12" t="s">
        <v>8</v>
      </c>
      <c r="E12" t="s">
        <v>22</v>
      </c>
      <c r="F12">
        <v>2</v>
      </c>
      <c r="H12" t="s">
        <v>18</v>
      </c>
      <c r="I12" s="7">
        <f t="shared" si="1"/>
        <v>3</v>
      </c>
    </row>
    <row r="13" spans="1:9" x14ac:dyDescent="0.25">
      <c r="A13">
        <v>1012</v>
      </c>
      <c r="B13" t="s">
        <v>13</v>
      </c>
      <c r="C13" t="s">
        <v>11</v>
      </c>
      <c r="D13" t="s">
        <v>12</v>
      </c>
      <c r="E13" t="s">
        <v>22</v>
      </c>
      <c r="F13">
        <v>5</v>
      </c>
      <c r="H13" t="s">
        <v>6</v>
      </c>
      <c r="I13" s="7">
        <f t="shared" si="1"/>
        <v>3.2</v>
      </c>
    </row>
    <row r="14" spans="1:9" x14ac:dyDescent="0.25">
      <c r="A14">
        <v>1013</v>
      </c>
      <c r="B14" t="s">
        <v>6</v>
      </c>
      <c r="C14" t="s">
        <v>16</v>
      </c>
      <c r="D14" t="s">
        <v>17</v>
      </c>
      <c r="E14" t="s">
        <v>23</v>
      </c>
      <c r="F14">
        <v>4</v>
      </c>
      <c r="H14" s="4" t="s">
        <v>43</v>
      </c>
    </row>
    <row r="15" spans="1:9" x14ac:dyDescent="0.25">
      <c r="A15">
        <v>1014</v>
      </c>
      <c r="B15" t="s">
        <v>18</v>
      </c>
      <c r="C15" t="s">
        <v>11</v>
      </c>
      <c r="D15" t="s">
        <v>8</v>
      </c>
      <c r="E15" t="s">
        <v>23</v>
      </c>
      <c r="F15">
        <v>1</v>
      </c>
    </row>
    <row r="16" spans="1:9" x14ac:dyDescent="0.25">
      <c r="A16">
        <v>1015</v>
      </c>
      <c r="B16" t="s">
        <v>10</v>
      </c>
      <c r="C16" t="s">
        <v>7</v>
      </c>
      <c r="D16" t="s">
        <v>14</v>
      </c>
      <c r="E16" t="s">
        <v>24</v>
      </c>
      <c r="F16">
        <v>3</v>
      </c>
    </row>
    <row r="17" spans="1:6" x14ac:dyDescent="0.25">
      <c r="A17">
        <v>1016</v>
      </c>
      <c r="B17" t="s">
        <v>6</v>
      </c>
      <c r="C17" t="s">
        <v>7</v>
      </c>
      <c r="D17" t="s">
        <v>8</v>
      </c>
      <c r="E17" t="s">
        <v>35</v>
      </c>
      <c r="F17">
        <v>2</v>
      </c>
    </row>
    <row r="18" spans="1:6" x14ac:dyDescent="0.25">
      <c r="A18">
        <v>1017</v>
      </c>
      <c r="B18" t="s">
        <v>10</v>
      </c>
      <c r="C18" t="s">
        <v>11</v>
      </c>
      <c r="D18" t="s">
        <v>8</v>
      </c>
      <c r="E18" t="s">
        <v>35</v>
      </c>
      <c r="F18">
        <v>3</v>
      </c>
    </row>
    <row r="19" spans="1:6" x14ac:dyDescent="0.25">
      <c r="A19">
        <v>1018</v>
      </c>
      <c r="B19" t="s">
        <v>13</v>
      </c>
      <c r="C19" t="s">
        <v>16</v>
      </c>
      <c r="D19" t="s">
        <v>36</v>
      </c>
      <c r="E19" t="s">
        <v>35</v>
      </c>
      <c r="F19">
        <v>4</v>
      </c>
    </row>
    <row r="20" spans="1:6" x14ac:dyDescent="0.25">
      <c r="A20">
        <v>1019</v>
      </c>
      <c r="B20" t="s">
        <v>10</v>
      </c>
      <c r="C20" t="s">
        <v>11</v>
      </c>
      <c r="D20" t="s">
        <v>14</v>
      </c>
      <c r="E20" t="s">
        <v>35</v>
      </c>
      <c r="F20">
        <v>2</v>
      </c>
    </row>
    <row r="22" spans="1:6" x14ac:dyDescent="0.25">
      <c r="A22" s="4" t="s">
        <v>37</v>
      </c>
      <c r="B22" s="4" t="s">
        <v>38</v>
      </c>
      <c r="C22" s="4" t="s">
        <v>39</v>
      </c>
    </row>
    <row r="23" spans="1:6" x14ac:dyDescent="0.25">
      <c r="A23" s="6">
        <f>AVERAGE(F2:F20)</f>
        <v>3.1052631578947367</v>
      </c>
      <c r="B23">
        <f>MIN(F2:F20)</f>
        <v>1</v>
      </c>
      <c r="C23">
        <f>MAX(F2:F20)</f>
        <v>7</v>
      </c>
    </row>
    <row r="24" spans="1:6" x14ac:dyDescent="0.25">
      <c r="A24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17C6-BE15-4C47-B7CF-54CD92B7433D}">
  <dimension ref="A3:G30"/>
  <sheetViews>
    <sheetView workbookViewId="0">
      <selection activeCell="D28" sqref="D28"/>
    </sheetView>
  </sheetViews>
  <sheetFormatPr defaultRowHeight="15" x14ac:dyDescent="0.25"/>
  <cols>
    <col min="1" max="1" width="13.42578125" bestFit="1" customWidth="1"/>
    <col min="2" max="2" width="19.5703125" style="1" bestFit="1" customWidth="1"/>
    <col min="3" max="3" width="17.28515625" bestFit="1" customWidth="1"/>
    <col min="4" max="4" width="19.5703125" bestFit="1" customWidth="1"/>
    <col min="5" max="5" width="9.42578125" bestFit="1" customWidth="1"/>
    <col min="6" max="6" width="11.28515625" bestFit="1" customWidth="1"/>
    <col min="7" max="7" width="13.42578125" customWidth="1"/>
  </cols>
  <sheetData>
    <row r="3" spans="1:4" x14ac:dyDescent="0.25">
      <c r="A3" s="2" t="s">
        <v>31</v>
      </c>
      <c r="B3" s="1" t="s">
        <v>33</v>
      </c>
      <c r="C3" s="2" t="s">
        <v>31</v>
      </c>
      <c r="D3" t="s">
        <v>33</v>
      </c>
    </row>
    <row r="4" spans="1:4" x14ac:dyDescent="0.25">
      <c r="A4" s="3" t="s">
        <v>13</v>
      </c>
      <c r="B4" s="1">
        <v>3</v>
      </c>
      <c r="C4" s="3" t="s">
        <v>12</v>
      </c>
      <c r="D4">
        <v>3</v>
      </c>
    </row>
    <row r="5" spans="1:4" x14ac:dyDescent="0.25">
      <c r="A5" s="3" t="s">
        <v>10</v>
      </c>
      <c r="B5" s="1">
        <v>4</v>
      </c>
      <c r="C5" s="3" t="s">
        <v>14</v>
      </c>
      <c r="D5">
        <v>4</v>
      </c>
    </row>
    <row r="6" spans="1:4" x14ac:dyDescent="0.25">
      <c r="A6" s="3" t="s">
        <v>18</v>
      </c>
      <c r="B6" s="1">
        <v>3</v>
      </c>
      <c r="C6" s="3" t="s">
        <v>8</v>
      </c>
      <c r="D6">
        <v>5</v>
      </c>
    </row>
    <row r="7" spans="1:4" x14ac:dyDescent="0.25">
      <c r="A7" s="3" t="s">
        <v>6</v>
      </c>
      <c r="B7" s="1">
        <v>5</v>
      </c>
      <c r="C7" s="3" t="s">
        <v>17</v>
      </c>
      <c r="D7">
        <v>3</v>
      </c>
    </row>
    <row r="8" spans="1:4" x14ac:dyDescent="0.25">
      <c r="A8" s="3" t="s">
        <v>32</v>
      </c>
      <c r="B8" s="1">
        <v>15</v>
      </c>
      <c r="C8" s="3" t="s">
        <v>32</v>
      </c>
      <c r="D8">
        <v>15</v>
      </c>
    </row>
    <row r="30" spans="1:7" ht="195" x14ac:dyDescent="0.25">
      <c r="A30" s="5" t="s">
        <v>34</v>
      </c>
      <c r="B30" s="5"/>
      <c r="F30" s="8" t="s">
        <v>44</v>
      </c>
      <c r="G30" s="8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0A0F-F72F-4D68-B0D5-59682416F760}">
  <dimension ref="A1:E23"/>
  <sheetViews>
    <sheetView workbookViewId="0">
      <selection activeCell="A13" sqref="A13:A16"/>
    </sheetView>
  </sheetViews>
  <sheetFormatPr defaultRowHeight="15" x14ac:dyDescent="0.25"/>
  <cols>
    <col min="1" max="1" width="70.5703125" bestFit="1" customWidth="1"/>
    <col min="2" max="2" width="19" bestFit="1" customWidth="1"/>
    <col min="4" max="4" width="17.28515625" bestFit="1" customWidth="1"/>
    <col min="5" max="5" width="9.5703125" bestFit="1" customWidth="1"/>
  </cols>
  <sheetData>
    <row r="1" spans="1:5" ht="31.5" x14ac:dyDescent="0.5">
      <c r="A1" s="15" t="s">
        <v>45</v>
      </c>
      <c r="B1" s="15"/>
      <c r="C1" s="15"/>
      <c r="D1" s="15"/>
      <c r="E1" s="15"/>
    </row>
    <row r="3" spans="1:5" ht="18.75" x14ac:dyDescent="0.3">
      <c r="A3" s="12" t="s">
        <v>46</v>
      </c>
    </row>
    <row r="4" spans="1:5" ht="21" x14ac:dyDescent="0.35">
      <c r="A4" s="13">
        <f>COUNTA('Cleaned Data'!A2:A20)</f>
        <v>19</v>
      </c>
    </row>
    <row r="6" spans="1:5" ht="18.75" x14ac:dyDescent="0.3">
      <c r="A6" s="12" t="s">
        <v>54</v>
      </c>
    </row>
    <row r="7" spans="1:5" ht="21" x14ac:dyDescent="0.35">
      <c r="A7" s="14">
        <f>AVERAGE('Cleaned Data'!F2:F20)</f>
        <v>3.1052631578947367</v>
      </c>
    </row>
    <row r="9" spans="1:5" ht="18.75" x14ac:dyDescent="0.3">
      <c r="A9" s="12" t="s">
        <v>47</v>
      </c>
      <c r="B9" s="4" t="s">
        <v>48</v>
      </c>
    </row>
    <row r="10" spans="1:5" ht="21" x14ac:dyDescent="0.35">
      <c r="A10" s="13" t="s">
        <v>8</v>
      </c>
      <c r="B10">
        <v>7</v>
      </c>
    </row>
    <row r="12" spans="1:5" x14ac:dyDescent="0.25">
      <c r="A12" s="4" t="s">
        <v>41</v>
      </c>
      <c r="B12" s="4" t="s">
        <v>49</v>
      </c>
      <c r="D12" s="4" t="s">
        <v>3</v>
      </c>
      <c r="E12" s="4" t="s">
        <v>49</v>
      </c>
    </row>
    <row r="13" spans="1:5" x14ac:dyDescent="0.25">
      <c r="A13" t="s">
        <v>13</v>
      </c>
      <c r="B13">
        <f>COUNTIF('Cleaned Data'!B2:B20,A13)</f>
        <v>4</v>
      </c>
      <c r="D13" t="s">
        <v>12</v>
      </c>
      <c r="E13">
        <f>COUNTIF('Cleaned Data'!D2:D20,D13)</f>
        <v>3</v>
      </c>
    </row>
    <row r="14" spans="1:5" x14ac:dyDescent="0.25">
      <c r="A14" t="s">
        <v>10</v>
      </c>
      <c r="B14">
        <f>COUNTIF('Cleaned Data'!B3:B21,A14)</f>
        <v>6</v>
      </c>
      <c r="D14" t="s">
        <v>14</v>
      </c>
      <c r="E14">
        <f>COUNTIF('Cleaned Data'!D3:D21,D14)</f>
        <v>5</v>
      </c>
    </row>
    <row r="15" spans="1:5" x14ac:dyDescent="0.25">
      <c r="A15" t="s">
        <v>18</v>
      </c>
      <c r="B15">
        <f>COUNTIF('Cleaned Data'!B4:B22,A15)</f>
        <v>3</v>
      </c>
      <c r="D15" t="s">
        <v>8</v>
      </c>
      <c r="E15">
        <f>COUNTIF('Cleaned Data'!D2:D22,D15)</f>
        <v>7</v>
      </c>
    </row>
    <row r="16" spans="1:5" x14ac:dyDescent="0.25">
      <c r="A16" t="s">
        <v>6</v>
      </c>
      <c r="B16">
        <f>COUNTIF('Cleaned Data'!B2:B23,A16)</f>
        <v>6</v>
      </c>
      <c r="D16" t="s">
        <v>17</v>
      </c>
      <c r="E16">
        <f>COUNTIF('Cleaned Data'!D5:D23,D16)</f>
        <v>3</v>
      </c>
    </row>
    <row r="17" spans="1:5" x14ac:dyDescent="0.25">
      <c r="D17" t="s">
        <v>36</v>
      </c>
      <c r="E17">
        <f>COUNTIF('Cleaned Data'!D6:D24,D17)</f>
        <v>1</v>
      </c>
    </row>
    <row r="20" spans="1:5" ht="21" x14ac:dyDescent="0.35">
      <c r="A20" s="10" t="s">
        <v>50</v>
      </c>
    </row>
    <row r="21" spans="1:5" ht="30" x14ac:dyDescent="0.25">
      <c r="A21" s="1" t="s">
        <v>51</v>
      </c>
    </row>
    <row r="22" spans="1:5" x14ac:dyDescent="0.25">
      <c r="A22" s="1" t="s">
        <v>52</v>
      </c>
    </row>
    <row r="23" spans="1:5" x14ac:dyDescent="0.25">
      <c r="A23" s="1" t="s">
        <v>53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0FBF-CBB0-436D-866B-0C298888438B}">
  <dimension ref="A1:C13"/>
  <sheetViews>
    <sheetView workbookViewId="0">
      <selection activeCell="C11" sqref="C11"/>
    </sheetView>
  </sheetViews>
  <sheetFormatPr defaultRowHeight="15" x14ac:dyDescent="0.25"/>
  <cols>
    <col min="1" max="1" width="30.42578125" bestFit="1" customWidth="1"/>
  </cols>
  <sheetData>
    <row r="1" spans="1:3" ht="31.5" x14ac:dyDescent="0.5">
      <c r="A1" s="9" t="s">
        <v>55</v>
      </c>
    </row>
    <row r="3" spans="1:3" ht="18.75" x14ac:dyDescent="0.3">
      <c r="A3" s="11" t="s">
        <v>56</v>
      </c>
    </row>
    <row r="4" spans="1:3" ht="60" x14ac:dyDescent="0.25">
      <c r="A4" s="1" t="s">
        <v>57</v>
      </c>
    </row>
    <row r="6" spans="1:3" ht="18.75" x14ac:dyDescent="0.3">
      <c r="A6" s="11" t="s">
        <v>58</v>
      </c>
    </row>
    <row r="7" spans="1:3" ht="60" x14ac:dyDescent="0.25">
      <c r="A7" s="1" t="s">
        <v>59</v>
      </c>
    </row>
    <row r="9" spans="1:3" ht="18.75" x14ac:dyDescent="0.3">
      <c r="A9" s="11" t="s">
        <v>50</v>
      </c>
    </row>
    <row r="10" spans="1:3" ht="45" x14ac:dyDescent="0.25">
      <c r="A10" s="1" t="s">
        <v>51</v>
      </c>
      <c r="B10" s="1"/>
      <c r="C10" s="1"/>
    </row>
    <row r="11" spans="1:3" ht="45" x14ac:dyDescent="0.25">
      <c r="A11" s="1" t="s">
        <v>52</v>
      </c>
      <c r="B11" s="1"/>
      <c r="C11" s="1"/>
    </row>
    <row r="12" spans="1:3" ht="45" x14ac:dyDescent="0.25">
      <c r="A12" s="1" t="s">
        <v>60</v>
      </c>
      <c r="B12" s="1"/>
      <c r="C12" s="1"/>
    </row>
    <row r="13" spans="1:3" ht="30" x14ac:dyDescent="0.25">
      <c r="A13" s="1" t="s">
        <v>61</v>
      </c>
      <c r="B13" s="1"/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Analysis</vt:lpstr>
      <vt:lpstr>NYC Parks Dashboard</vt:lpstr>
      <vt:lpstr>Project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Gummy Dragon</dc:creator>
  <cp:lastModifiedBy>Gummy Dragon</cp:lastModifiedBy>
  <dcterms:created xsi:type="dcterms:W3CDTF">2026-09-28T22:14:35Z</dcterms:created>
  <dcterms:modified xsi:type="dcterms:W3CDTF">2026-09-29T00:47:26Z</dcterms:modified>
</cp:coreProperties>
</file>